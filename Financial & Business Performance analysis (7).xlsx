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E5\EXCELCNV\cb6b9027-509f-4fd3-b190-0a8aa45d6066\"/>
    </mc:Choice>
  </mc:AlternateContent>
  <xr:revisionPtr revIDLastSave="0" documentId="8_{43DBFEFB-EFE9-42AE-8030-7DBCE2E841BA}" xr6:coauthVersionLast="47" xr6:coauthVersionMax="47" xr10:uidLastSave="{00000000-0000-0000-0000-000000000000}"/>
  <bookViews>
    <workbookView xWindow="-60" yWindow="-60" windowWidth="15480" windowHeight="11640" firstSheet="1" xr2:uid="{00000000-000D-0000-FFFF-FFFF00000000}"/>
  </bookViews>
  <sheets>
    <sheet name="Data" sheetId="1" r:id="rId1"/>
    <sheet name="Char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9" i="1" l="1"/>
  <c r="F15" i="1"/>
  <c r="G15" i="1"/>
  <c r="H15" i="1"/>
  <c r="I15" i="1"/>
  <c r="J15" i="1"/>
  <c r="E15" i="1"/>
  <c r="F14" i="1"/>
  <c r="G14" i="1"/>
  <c r="H14" i="1"/>
  <c r="I14" i="1"/>
  <c r="J14" i="1"/>
  <c r="E14" i="1"/>
  <c r="F13" i="1"/>
  <c r="G13" i="1"/>
  <c r="H13" i="1"/>
  <c r="I13" i="1"/>
  <c r="J13" i="1"/>
  <c r="E13" i="1"/>
  <c r="J12" i="1"/>
  <c r="G12" i="1"/>
  <c r="F12" i="1"/>
  <c r="H12" i="1"/>
  <c r="I12" i="1"/>
  <c r="E12" i="1"/>
  <c r="E11" i="1"/>
  <c r="F11" i="1"/>
  <c r="H11" i="1"/>
  <c r="I11" i="1"/>
</calcChain>
</file>

<file path=xl/sharedStrings.xml><?xml version="1.0" encoding="utf-8"?>
<sst xmlns="http://schemas.openxmlformats.org/spreadsheetml/2006/main" count="24" uniqueCount="22">
  <si>
    <t>Metric</t>
  </si>
  <si>
    <t>RIGHTMOVE 25 (£m)</t>
  </si>
  <si>
    <t>RIGHTMOVE 24 (£m)</t>
  </si>
  <si>
    <t>RIGHTMOVE 23 (£m)</t>
  </si>
  <si>
    <t>AUTOTRADER 25 (£m)</t>
  </si>
  <si>
    <t>AUTOTRADER 24 (£m)</t>
  </si>
  <si>
    <t>AUTOTRADER 23 (£m)</t>
  </si>
  <si>
    <t>Revenue</t>
  </si>
  <si>
    <t>-</t>
  </si>
  <si>
    <t>Operating profits</t>
  </si>
  <si>
    <t xml:space="preserve">Net profit </t>
  </si>
  <si>
    <t>Current assets</t>
  </si>
  <si>
    <t>Current liabilities</t>
  </si>
  <si>
    <t>Total assets</t>
  </si>
  <si>
    <t>Total debt</t>
  </si>
  <si>
    <t>Equity</t>
  </si>
  <si>
    <t>% Revenue growth</t>
  </si>
  <si>
    <t>Operating profit margin</t>
  </si>
  <si>
    <t>Net profit margin</t>
  </si>
  <si>
    <t>Current Ratio</t>
  </si>
  <si>
    <t>Debt - to - equity ratio</t>
  </si>
  <si>
    <t>See the "Data" tab for the full financial model and calculated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</si>
</sst>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000000"/>
      <name val="Consolas"/>
    </font>
    <font>
      <sz val="14"/>
      <color rgb="FF000000"/>
      <name val="Calibri"/>
      <scheme val="minor"/>
    </font>
    <font>
      <sz val="12"/>
      <color rgb="FF000000"/>
      <name val="Consolas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000000"/>
      <name val="Calibri"/>
      <scheme val="minor"/>
    </font>
    <font>
      <sz val="12"/>
      <color rgb="FF000000"/>
      <name val="Calibri"/>
      <scheme val="minor"/>
    </font>
    <font>
      <sz val="14"/>
      <color theme="1"/>
      <name val="Consolas"/>
    </font>
    <font>
      <b/>
      <sz val="12"/>
      <color rgb="FF000000"/>
      <name val="Batang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5" fillId="0" borderId="0" xfId="0" applyFont="1"/>
    <xf numFmtId="0" fontId="0" fillId="0" borderId="0" xfId="0" applyFont="1"/>
    <xf numFmtId="0" fontId="6" fillId="0" borderId="0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0" xfId="0" applyFont="1" applyBorder="1"/>
    <xf numFmtId="0" fontId="9" fillId="0" borderId="2" xfId="0" applyFont="1" applyBorder="1" applyAlignment="1"/>
    <xf numFmtId="0" fontId="9" fillId="0" borderId="3" xfId="0" applyFont="1" applyBorder="1" applyAlignment="1"/>
    <xf numFmtId="0" fontId="9" fillId="0" borderId="4" xfId="0" applyFont="1" applyBorder="1" applyAlignment="1"/>
    <xf numFmtId="0" fontId="9" fillId="0" borderId="5" xfId="0" applyFont="1" applyBorder="1" applyAlignment="1"/>
    <xf numFmtId="0" fontId="9" fillId="0" borderId="0" xfId="0" applyFont="1" applyBorder="1" applyAlignment="1"/>
    <xf numFmtId="0" fontId="9" fillId="0" borderId="6" xfId="0" applyFont="1" applyBorder="1" applyAlignment="1"/>
    <xf numFmtId="0" fontId="0" fillId="0" borderId="0" xfId="0" applyFont="1" applyBorder="1"/>
    <xf numFmtId="0" fontId="8" fillId="0" borderId="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/>
    <xf numFmtId="9" fontId="9" fillId="0" borderId="5" xfId="0" applyNumberFormat="1" applyFont="1" applyBorder="1" applyAlignment="1"/>
    <xf numFmtId="2" fontId="9" fillId="0" borderId="5" xfId="0" applyNumberFormat="1" applyFont="1" applyBorder="1" applyAlignment="1"/>
    <xf numFmtId="2" fontId="9" fillId="0" borderId="7" xfId="0" applyNumberFormat="1" applyFont="1" applyBorder="1" applyAlignment="1"/>
    <xf numFmtId="9" fontId="9" fillId="0" borderId="0" xfId="0" applyNumberFormat="1" applyFont="1" applyBorder="1" applyAlignment="1"/>
    <xf numFmtId="2" fontId="9" fillId="0" borderId="0" xfId="0" applyNumberFormat="1" applyFont="1" applyBorder="1" applyAlignment="1"/>
    <xf numFmtId="2" fontId="9" fillId="0" borderId="8" xfId="0" applyNumberFormat="1" applyFont="1" applyBorder="1" applyAlignment="1"/>
    <xf numFmtId="9" fontId="9" fillId="0" borderId="6" xfId="0" applyNumberFormat="1" applyFont="1" applyBorder="1" applyAlignment="1"/>
    <xf numFmtId="2" fontId="9" fillId="0" borderId="6" xfId="0" applyNumberFormat="1" applyFont="1" applyBorder="1" applyAlignment="1"/>
    <xf numFmtId="2" fontId="9" fillId="0" borderId="9" xfId="0" applyNumberFormat="1" applyFont="1" applyBorder="1" applyAlignment="1"/>
    <xf numFmtId="0" fontId="9" fillId="0" borderId="6" xfId="0" applyFont="1" applyBorder="1" applyAlignment="1">
      <alignment horizontal="center"/>
    </xf>
    <xf numFmtId="9" fontId="9" fillId="0" borderId="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Rightmove: Revenue &amp; Profit Trend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Data!$C$2:$G$2</c:f>
              <c:strCache>
                <c:ptCount val="5"/>
                <c:pt idx="2">
                  <c:v>RIGHTMOVE 25 (£m)</c:v>
                </c:pt>
                <c:pt idx="3">
                  <c:v>RIGHTMOVE 24 (£m)</c:v>
                </c:pt>
                <c:pt idx="4">
                  <c:v>RIGHTMOVE 23 (£m)</c:v>
                </c:pt>
              </c:strCache>
            </c:strRef>
          </c:cat>
          <c:val>
            <c:numRef>
              <c:f>Data!$C$3:$G$3</c:f>
              <c:numCache>
                <c:formatCode>General</c:formatCode>
                <c:ptCount val="5"/>
                <c:pt idx="2">
                  <c:v>425.1</c:v>
                </c:pt>
                <c:pt idx="3">
                  <c:v>389.9</c:v>
                </c:pt>
                <c:pt idx="4">
                  <c:v>346.3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54-4CF2-A192-9614058F307A}"/>
            </c:ext>
          </c:extLst>
        </c:ser>
        <c:ser>
          <c:idx val="1"/>
          <c:order val="1"/>
          <c:tx>
            <c:strRef>
              <c:f>Data!$B$4</c:f>
              <c:strCache>
                <c:ptCount val="1"/>
                <c:pt idx="0">
                  <c:v>Operating profits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Data!$C$2:$G$2</c:f>
              <c:strCache>
                <c:ptCount val="5"/>
                <c:pt idx="2">
                  <c:v>RIGHTMOVE 25 (£m)</c:v>
                </c:pt>
                <c:pt idx="3">
                  <c:v>RIGHTMOVE 24 (£m)</c:v>
                </c:pt>
                <c:pt idx="4">
                  <c:v>RIGHTMOVE 23 (£m)</c:v>
                </c:pt>
              </c:strCache>
            </c:strRef>
          </c:cat>
          <c:val>
            <c:numRef>
              <c:f>Data!$C$4:$G$4</c:f>
              <c:numCache>
                <c:formatCode>General</c:formatCode>
                <c:ptCount val="5"/>
                <c:pt idx="2">
                  <c:v>287.89999999999998</c:v>
                </c:pt>
                <c:pt idx="3">
                  <c:v>256.3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54-4CF2-A192-9614058F307A}"/>
            </c:ext>
          </c:extLst>
        </c:ser>
        <c:ser>
          <c:idx val="2"/>
          <c:order val="2"/>
          <c:tx>
            <c:strRef>
              <c:f>Data!$B$5</c:f>
              <c:strCache>
                <c:ptCount val="1"/>
                <c:pt idx="0">
                  <c:v>Net profit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Data!$C$2:$G$2</c:f>
              <c:strCache>
                <c:ptCount val="5"/>
                <c:pt idx="2">
                  <c:v>RIGHTMOVE 25 (£m)</c:v>
                </c:pt>
                <c:pt idx="3">
                  <c:v>RIGHTMOVE 24 (£m)</c:v>
                </c:pt>
                <c:pt idx="4">
                  <c:v>RIGHTMOVE 23 (£m)</c:v>
                </c:pt>
              </c:strCache>
            </c:strRef>
          </c:cat>
          <c:val>
            <c:numRef>
              <c:f>Data!$C$5:$G$5</c:f>
              <c:numCache>
                <c:formatCode>General</c:formatCode>
                <c:ptCount val="5"/>
                <c:pt idx="2">
                  <c:v>217.1</c:v>
                </c:pt>
                <c:pt idx="3">
                  <c:v>192.7</c:v>
                </c:pt>
                <c:pt idx="4">
                  <c:v>199.2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54-4CF2-A192-9614058F3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5747720"/>
        <c:axId val="1725754376"/>
      </c:barChart>
      <c:catAx>
        <c:axId val="1725747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54376"/>
        <c:crosses val="autoZero"/>
        <c:auto val="1"/>
        <c:lblAlgn val="ctr"/>
        <c:lblOffset val="100"/>
        <c:noMultiLvlLbl val="0"/>
      </c:catAx>
      <c:valAx>
        <c:axId val="172575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74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Operating Profit Margin: Rightmove vs Auto Trader (2023-2025)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{"Rightmove operating profit margin (2023-2025)"}</c:f>
              <c:strCache>
                <c:ptCount val="1"/>
                <c:pt idx="0">
                  <c:v>Rightmove operating profit margin (2023-2025)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Data!L28:N28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Data!E12:G12</c:f>
              <c:numCache>
                <c:formatCode>0%</c:formatCode>
                <c:ptCount val="3"/>
                <c:pt idx="0">
                  <c:v>0.67725241119736523</c:v>
                </c:pt>
                <c:pt idx="1">
                  <c:v>0.65734803795845098</c:v>
                </c:pt>
                <c:pt idx="2">
                  <c:v>0.74501876985272886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EC-4486-BBF6-FE22F7B7CF80}"/>
            </c:ext>
          </c:extLst>
        </c:ser>
        <c:ser>
          <c:idx val="1"/>
          <c:order val="1"/>
          <c:tx>
            <c:strRef>
              <c:f>{"Autotrader operating profit margin (2023-2025)"}</c:f>
              <c:strCache>
                <c:ptCount val="1"/>
                <c:pt idx="0">
                  <c:v>Autotrader operating profit margin (2023-2025)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Data!L28:N28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Data!H12:J12</c:f>
              <c:numCache>
                <c:formatCode>0%</c:formatCode>
                <c:ptCount val="3"/>
                <c:pt idx="0">
                  <c:v>0.62685077358176677</c:v>
                </c:pt>
                <c:pt idx="1">
                  <c:v>0.61078998073217727</c:v>
                </c:pt>
                <c:pt idx="2">
                  <c:v>0.55497800879648151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EC-4486-BBF6-FE22F7B7C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245384"/>
        <c:axId val="1390247432"/>
      </c:lineChart>
      <c:catAx>
        <c:axId val="1390245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47432"/>
        <c:crosses val="autoZero"/>
        <c:auto val="1"/>
        <c:lblAlgn val="ctr"/>
        <c:lblOffset val="100"/>
        <c:noMultiLvlLbl val="0"/>
      </c:catAx>
      <c:valAx>
        <c:axId val="13902474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24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Revenue Growth: Rightmove vs Auto Trader (2024-2025)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{"Rightmove"}</c:f>
              <c:strCache>
                <c:ptCount val="1"/>
                <c:pt idx="0">
                  <c:v>Rightmove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Data!L28:M28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Data!E11:F11</c:f>
              <c:numCache>
                <c:formatCode>0%</c:formatCode>
                <c:ptCount val="2"/>
                <c:pt idx="0">
                  <c:v>9.0279558861246598E-2</c:v>
                </c:pt>
                <c:pt idx="1">
                  <c:v>0.12590239676580989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5C-42C0-A984-B50B94B98FAD}"/>
            </c:ext>
          </c:extLst>
        </c:ser>
        <c:ser>
          <c:idx val="1"/>
          <c:order val="1"/>
          <c:tx>
            <c:strRef>
              <c:f>{"Autotrader"}</c:f>
              <c:strCache>
                <c:ptCount val="1"/>
                <c:pt idx="0">
                  <c:v>Autotrader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Data!L28:M28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Data!H11:I11</c:f>
              <c:numCache>
                <c:formatCode>0%</c:formatCode>
                <c:ptCount val="2"/>
                <c:pt idx="0">
                  <c:v>5.2898931511648359E-2</c:v>
                </c:pt>
                <c:pt idx="1">
                  <c:v>0.14134346261495401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5C-42C0-A984-B50B94B98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753416"/>
        <c:axId val="1708755464"/>
      </c:barChart>
      <c:catAx>
        <c:axId val="17087534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55464"/>
        <c:crosses val="autoZero"/>
        <c:auto val="1"/>
        <c:lblAlgn val="ctr"/>
        <c:lblOffset val="100"/>
        <c:noMultiLvlLbl val="0"/>
      </c:catAx>
      <c:valAx>
        <c:axId val="170875546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53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1</xdr:row>
      <xdr:rowOff>57150</xdr:rowOff>
    </xdr:from>
    <xdr:to>
      <xdr:col>9</xdr:col>
      <xdr:colOff>123825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C8831F-C229-52E5-FA65-7E12E5CA1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276225</xdr:colOff>
      <xdr:row>1</xdr:row>
      <xdr:rowOff>28575</xdr:rowOff>
    </xdr:from>
    <xdr:to>
      <xdr:col>17</xdr:col>
      <xdr:colOff>581025</xdr:colOff>
      <xdr:row>15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50E096-A9D0-6FF0-40CD-3239E21417D4}"/>
            </a:ext>
            <a:ext uri="{147F2762-F138-4A5C-976F-8EAC2B608ADB}">
              <a16:predDERef xmlns:a16="http://schemas.microsoft.com/office/drawing/2014/main" pred="{F0C8831F-C229-52E5-FA65-7E12E5CA1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47625</xdr:colOff>
      <xdr:row>1</xdr:row>
      <xdr:rowOff>66675</xdr:rowOff>
    </xdr:from>
    <xdr:to>
      <xdr:col>26</xdr:col>
      <xdr:colOff>352425</xdr:colOff>
      <xdr:row>15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763BE2B-74B4-7704-CD96-AE0CB3B16248}"/>
            </a:ext>
            <a:ext uri="{147F2762-F138-4A5C-976F-8EAC2B608ADB}">
              <a16:predDERef xmlns:a16="http://schemas.microsoft.com/office/drawing/2014/main" pred="{A250E096-A9D0-6FF0-40CD-3239E21417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workbookViewId="0">
      <selection activeCell="Q4" sqref="Q4"/>
    </sheetView>
  </sheetViews>
  <sheetFormatPr defaultColWidth="9.140625" defaultRowHeight="15"/>
  <cols>
    <col min="5" max="6" width="27.42578125" customWidth="1"/>
    <col min="7" max="9" width="27.7109375" customWidth="1"/>
    <col min="10" max="10" width="27.85546875" customWidth="1"/>
  </cols>
  <sheetData>
    <row r="1" spans="1:27" ht="21">
      <c r="A1" s="1"/>
      <c r="B1" s="5"/>
      <c r="C1" s="5"/>
      <c r="D1" s="5"/>
      <c r="E1" s="5"/>
      <c r="F1" s="5"/>
      <c r="G1" s="5"/>
      <c r="H1" s="5"/>
      <c r="I1" s="5"/>
      <c r="J1" s="5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5"/>
      <c r="X1" s="5"/>
      <c r="Y1" s="4"/>
      <c r="Z1" s="4"/>
      <c r="AA1" s="4"/>
    </row>
    <row r="2" spans="1:27" ht="21">
      <c r="A2" s="1"/>
      <c r="B2" s="37" t="s">
        <v>0</v>
      </c>
      <c r="C2" s="38"/>
      <c r="D2" s="38"/>
      <c r="E2" s="7" t="s">
        <v>1</v>
      </c>
      <c r="F2" s="8" t="s">
        <v>2</v>
      </c>
      <c r="G2" s="7" t="s">
        <v>3</v>
      </c>
      <c r="H2" s="7" t="s">
        <v>4</v>
      </c>
      <c r="I2" s="7" t="s">
        <v>5</v>
      </c>
      <c r="J2" s="18" t="s">
        <v>6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3"/>
      <c r="V2" s="3"/>
    </row>
    <row r="3" spans="1:27" ht="21">
      <c r="A3" s="1"/>
      <c r="B3" s="39" t="s">
        <v>7</v>
      </c>
      <c r="C3" s="40"/>
      <c r="D3" s="41"/>
      <c r="E3" s="10">
        <v>425.1</v>
      </c>
      <c r="F3" s="11">
        <v>389.9</v>
      </c>
      <c r="G3" s="11">
        <v>346.3</v>
      </c>
      <c r="H3" s="11">
        <v>601.1</v>
      </c>
      <c r="I3" s="11">
        <v>570.9</v>
      </c>
      <c r="J3" s="12">
        <v>500.2</v>
      </c>
      <c r="K3" s="14"/>
      <c r="L3" s="14"/>
      <c r="M3" s="14"/>
      <c r="N3" s="14"/>
      <c r="O3" s="14"/>
      <c r="P3" s="14"/>
      <c r="Q3" s="14" t="s">
        <v>8</v>
      </c>
      <c r="R3" s="14"/>
      <c r="S3" s="14"/>
      <c r="T3" s="14"/>
      <c r="U3" s="3"/>
      <c r="V3" s="3"/>
    </row>
    <row r="4" spans="1:27" ht="21">
      <c r="A4" s="1"/>
      <c r="B4" s="31" t="s">
        <v>9</v>
      </c>
      <c r="C4" s="32"/>
      <c r="D4" s="33"/>
      <c r="E4" s="13">
        <v>287.89999999999998</v>
      </c>
      <c r="F4" s="14">
        <v>256.3</v>
      </c>
      <c r="G4" s="14">
        <v>258</v>
      </c>
      <c r="H4" s="14">
        <v>376.8</v>
      </c>
      <c r="I4" s="14">
        <v>348.7</v>
      </c>
      <c r="J4" s="15">
        <v>277.60000000000002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3"/>
      <c r="V4" s="3"/>
    </row>
    <row r="5" spans="1:27" ht="21">
      <c r="A5" s="1"/>
      <c r="B5" s="31" t="s">
        <v>10</v>
      </c>
      <c r="C5" s="32"/>
      <c r="D5" s="33"/>
      <c r="E5" s="13">
        <v>217.1</v>
      </c>
      <c r="F5" s="14">
        <v>192.7</v>
      </c>
      <c r="G5" s="14">
        <v>199.2</v>
      </c>
      <c r="H5" s="14">
        <v>282.60000000000002</v>
      </c>
      <c r="I5" s="14">
        <v>256.89999999999998</v>
      </c>
      <c r="J5" s="15">
        <v>233.9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3"/>
      <c r="V5" s="3"/>
    </row>
    <row r="6" spans="1:27" ht="21">
      <c r="A6" s="1"/>
      <c r="B6" s="31" t="s">
        <v>11</v>
      </c>
      <c r="C6" s="32"/>
      <c r="D6" s="33"/>
      <c r="E6" s="13">
        <v>76.5</v>
      </c>
      <c r="F6" s="14">
        <v>72.400000000000006</v>
      </c>
      <c r="G6" s="14">
        <v>71.3</v>
      </c>
      <c r="H6" s="14">
        <v>104</v>
      </c>
      <c r="I6" s="14">
        <v>105.3</v>
      </c>
      <c r="J6" s="15">
        <v>93.7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3"/>
      <c r="V6" s="3"/>
    </row>
    <row r="7" spans="1:27" ht="21">
      <c r="A7" s="1"/>
      <c r="B7" s="31" t="s">
        <v>12</v>
      </c>
      <c r="C7" s="42"/>
      <c r="D7" s="43"/>
      <c r="E7" s="13">
        <v>40.5</v>
      </c>
      <c r="F7" s="14">
        <v>32.700000000000003</v>
      </c>
      <c r="G7" s="14">
        <v>29.6</v>
      </c>
      <c r="H7" s="14">
        <v>61</v>
      </c>
      <c r="I7" s="14">
        <v>63.3</v>
      </c>
      <c r="J7" s="15">
        <v>57.9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3"/>
      <c r="V7" s="3"/>
    </row>
    <row r="8" spans="1:27" ht="21">
      <c r="A8" s="1"/>
      <c r="B8" s="31" t="s">
        <v>13</v>
      </c>
      <c r="C8" s="32"/>
      <c r="D8" s="33"/>
      <c r="E8" s="13">
        <v>128.19999999999999</v>
      </c>
      <c r="F8" s="14">
        <v>118.5</v>
      </c>
      <c r="G8" s="14">
        <v>104.9</v>
      </c>
      <c r="H8" s="14">
        <v>639.9</v>
      </c>
      <c r="I8" s="14">
        <v>658</v>
      </c>
      <c r="J8" s="15">
        <v>662.7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3"/>
      <c r="V8" s="3"/>
    </row>
    <row r="9" spans="1:27" ht="21">
      <c r="A9" s="1"/>
      <c r="B9" s="31" t="s">
        <v>14</v>
      </c>
      <c r="C9" s="32"/>
      <c r="D9" s="33"/>
      <c r="E9" s="13">
        <v>0</v>
      </c>
      <c r="F9" s="14">
        <v>0</v>
      </c>
      <c r="G9" s="14">
        <v>0</v>
      </c>
      <c r="H9" s="14">
        <v>0</v>
      </c>
      <c r="I9" s="14">
        <v>27.7</v>
      </c>
      <c r="J9" s="15">
        <v>57.5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3"/>
      <c r="V9" s="3"/>
    </row>
    <row r="10" spans="1:27" ht="21">
      <c r="A10" s="1"/>
      <c r="B10" s="31" t="s">
        <v>15</v>
      </c>
      <c r="C10" s="44"/>
      <c r="D10" s="45"/>
      <c r="E10" s="13">
        <v>82.3</v>
      </c>
      <c r="F10" s="14">
        <v>80.900000000000006</v>
      </c>
      <c r="G10" s="14">
        <v>69.400000000000006</v>
      </c>
      <c r="H10" s="14">
        <v>596.4</v>
      </c>
      <c r="I10" s="14">
        <v>552.29999999999995</v>
      </c>
      <c r="J10" s="15">
        <v>527.29999999999995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"/>
      <c r="V10" s="3"/>
    </row>
    <row r="11" spans="1:27" ht="21">
      <c r="A11" s="1"/>
      <c r="B11" s="31" t="s">
        <v>16</v>
      </c>
      <c r="C11" s="46"/>
      <c r="D11" s="47"/>
      <c r="E11" s="20">
        <f>(E3-F3)/F3</f>
        <v>9.0279558861246598E-2</v>
      </c>
      <c r="F11" s="23">
        <f t="shared" ref="F11:I11" si="0">(F3-G3)/G3</f>
        <v>0.12590239676580989</v>
      </c>
      <c r="G11" s="30" t="s">
        <v>8</v>
      </c>
      <c r="H11" s="23">
        <f t="shared" si="0"/>
        <v>5.2898931511648359E-2</v>
      </c>
      <c r="I11" s="23">
        <f t="shared" si="0"/>
        <v>0.14134346261495401</v>
      </c>
      <c r="J11" s="29" t="s">
        <v>8</v>
      </c>
      <c r="K11" s="3"/>
      <c r="L11" s="9"/>
      <c r="M11" s="9"/>
      <c r="N11" s="9"/>
      <c r="O11" s="9"/>
      <c r="P11" s="9"/>
      <c r="Q11" s="9"/>
      <c r="R11" s="9"/>
      <c r="S11" s="9"/>
      <c r="T11" s="9"/>
      <c r="U11" s="3"/>
      <c r="V11" s="3"/>
    </row>
    <row r="12" spans="1:27" ht="21">
      <c r="A12" s="1"/>
      <c r="B12" s="31" t="s">
        <v>17</v>
      </c>
      <c r="C12" s="32"/>
      <c r="D12" s="33"/>
      <c r="E12" s="20">
        <f>E4/E3</f>
        <v>0.67725241119736523</v>
      </c>
      <c r="F12" s="23">
        <f t="shared" ref="F12:J12" si="1">F4/F3</f>
        <v>0.65734803795845098</v>
      </c>
      <c r="G12" s="23">
        <f t="shared" si="1"/>
        <v>0.74501876985272886</v>
      </c>
      <c r="H12" s="23">
        <f t="shared" si="1"/>
        <v>0.62685077358176677</v>
      </c>
      <c r="I12" s="23">
        <f t="shared" si="1"/>
        <v>0.61078998073217727</v>
      </c>
      <c r="J12" s="26">
        <f t="shared" si="1"/>
        <v>0.55497800879648151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7" ht="21">
      <c r="A13" s="1"/>
      <c r="B13" s="31" t="s">
        <v>18</v>
      </c>
      <c r="C13" s="32"/>
      <c r="D13" s="33"/>
      <c r="E13" s="20">
        <f>E5/E3</f>
        <v>0.5107033639143731</v>
      </c>
      <c r="F13" s="23">
        <f t="shared" ref="F13:J13" si="2">F5/F3</f>
        <v>0.49422928956142603</v>
      </c>
      <c r="G13" s="23">
        <f t="shared" si="2"/>
        <v>0.57522379439792082</v>
      </c>
      <c r="H13" s="23">
        <f t="shared" si="2"/>
        <v>0.47013808018632508</v>
      </c>
      <c r="I13" s="23">
        <f t="shared" si="2"/>
        <v>0.44999124189875633</v>
      </c>
      <c r="J13" s="26">
        <f t="shared" si="2"/>
        <v>0.4676129548180728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7" ht="21">
      <c r="A14" s="1"/>
      <c r="B14" s="31" t="s">
        <v>19</v>
      </c>
      <c r="C14" s="32"/>
      <c r="D14" s="33"/>
      <c r="E14" s="21">
        <f>E6/E7</f>
        <v>1.8888888888888888</v>
      </c>
      <c r="F14" s="24">
        <f t="shared" ref="F14:J14" si="3">F6/F7</f>
        <v>2.214067278287462</v>
      </c>
      <c r="G14" s="24">
        <f t="shared" si="3"/>
        <v>2.4087837837837838</v>
      </c>
      <c r="H14" s="24">
        <f t="shared" si="3"/>
        <v>1.7049180327868851</v>
      </c>
      <c r="I14" s="24">
        <f t="shared" si="3"/>
        <v>1.6635071090047393</v>
      </c>
      <c r="J14" s="27">
        <f t="shared" si="3"/>
        <v>1.6183074265975821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7" ht="21">
      <c r="A15" s="1"/>
      <c r="B15" s="34" t="s">
        <v>20</v>
      </c>
      <c r="C15" s="35"/>
      <c r="D15" s="36"/>
      <c r="E15" s="22">
        <f>E9/E10</f>
        <v>0</v>
      </c>
      <c r="F15" s="25">
        <f t="shared" ref="F15:J15" si="4">F9/F10</f>
        <v>0</v>
      </c>
      <c r="G15" s="25">
        <f t="shared" si="4"/>
        <v>0</v>
      </c>
      <c r="H15" s="25">
        <f t="shared" si="4"/>
        <v>0</v>
      </c>
      <c r="I15" s="25">
        <f t="shared" si="4"/>
        <v>5.0153901864928484E-2</v>
      </c>
      <c r="J15" s="28">
        <f t="shared" si="4"/>
        <v>0.10904608382325053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7" ht="21">
      <c r="A16" s="1"/>
      <c r="B16" s="6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1">
      <c r="A17" s="1"/>
      <c r="B17" s="6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21">
      <c r="A18" s="1"/>
      <c r="B18" s="3"/>
      <c r="G18" s="19"/>
      <c r="L18" s="4"/>
      <c r="M18" s="3"/>
      <c r="N18" s="3"/>
      <c r="O18" s="3"/>
      <c r="P18" s="3"/>
      <c r="Q18" s="3"/>
      <c r="R18" s="3"/>
      <c r="S18" s="3"/>
      <c r="T18" s="3"/>
      <c r="U18" s="3"/>
    </row>
    <row r="19" spans="1:21" ht="21">
      <c r="A19" s="1"/>
      <c r="M19" s="3"/>
      <c r="N19" s="3"/>
      <c r="O19" s="3"/>
      <c r="P19" s="3"/>
      <c r="Q19" s="3"/>
      <c r="R19" s="3"/>
      <c r="S19" s="3"/>
      <c r="T19" s="3"/>
      <c r="U19" s="3"/>
    </row>
    <row r="20" spans="1:21" ht="21">
      <c r="A20" s="1"/>
      <c r="B20" s="3"/>
      <c r="M20" s="3"/>
      <c r="N20" s="3"/>
      <c r="O20" s="3"/>
      <c r="P20" s="3"/>
      <c r="Q20" s="3"/>
      <c r="R20" s="3"/>
      <c r="S20" s="2"/>
      <c r="T20" s="3"/>
      <c r="U20" s="3"/>
    </row>
    <row r="21" spans="1:21" ht="21">
      <c r="A21" s="1"/>
      <c r="B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1">
      <c r="A22" s="1"/>
      <c r="M22" s="3"/>
      <c r="N22" s="3"/>
      <c r="O22" s="3"/>
      <c r="P22" s="3"/>
      <c r="Q22" s="3"/>
      <c r="R22" s="3"/>
      <c r="S22" s="3"/>
      <c r="T22" s="3"/>
      <c r="U22" s="3"/>
    </row>
    <row r="23" spans="1:21" ht="21">
      <c r="A23" s="1"/>
    </row>
    <row r="24" spans="1:21" ht="21">
      <c r="A24" s="1"/>
    </row>
    <row r="25" spans="1:21" ht="21">
      <c r="A25" s="1"/>
    </row>
    <row r="26" spans="1:21" ht="21">
      <c r="A26" s="1"/>
    </row>
    <row r="27" spans="1:21" ht="21">
      <c r="A27" s="1"/>
    </row>
    <row r="28" spans="1:21">
      <c r="L28">
        <v>2025</v>
      </c>
      <c r="M28">
        <v>2024</v>
      </c>
      <c r="N28">
        <v>2023</v>
      </c>
    </row>
    <row r="39" spans="18:18">
      <c r="R39">
        <f>-S19</f>
        <v>0</v>
      </c>
    </row>
  </sheetData>
  <mergeCells count="14">
    <mergeCell ref="B13:D13"/>
    <mergeCell ref="B14:D14"/>
    <mergeCell ref="B15:D15"/>
    <mergeCell ref="B2:D2"/>
    <mergeCell ref="B3:D3"/>
    <mergeCell ref="B4:D4"/>
    <mergeCell ref="B7:D7"/>
    <mergeCell ref="B8:D8"/>
    <mergeCell ref="B9:D9"/>
    <mergeCell ref="B5:D5"/>
    <mergeCell ref="B6:D6"/>
    <mergeCell ref="B10:D10"/>
    <mergeCell ref="B11:D11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4E88-BF64-4768-BE99-64098544B20B}">
  <dimension ref="I25:Y198"/>
  <sheetViews>
    <sheetView workbookViewId="0">
      <selection activeCell="M27" sqref="M27"/>
    </sheetView>
  </sheetViews>
  <sheetFormatPr defaultRowHeight="15"/>
  <sheetData>
    <row r="25" spans="9:9" ht="15.75">
      <c r="I25" s="48"/>
    </row>
    <row r="198" spans="25:25">
      <c r="Y198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2026-09-03T21:32:04Z</dcterms:created>
  <dcterms:modified xsi:type="dcterms:W3CDTF">2026-09-05T01:06:53Z</dcterms:modified>
  <cp:category/>
  <cp:contentStatus/>
</cp:coreProperties>
</file>